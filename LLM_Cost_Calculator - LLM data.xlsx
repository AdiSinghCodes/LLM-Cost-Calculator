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ya\OneDrive\Desktop\S3K-works\LLM Cost Calculator\"/>
    </mc:Choice>
  </mc:AlternateContent>
  <xr:revisionPtr revIDLastSave="0" documentId="8_{DEEF7A05-D63C-4D4A-A492-B1A2CE3DBD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LM Calc" sheetId="1" r:id="rId1"/>
    <sheet name="Sheet1" sheetId="4" r:id="rId2"/>
  </sheets>
  <definedNames>
    <definedName name="_xlnm._FilterDatabase" localSheetId="0" hidden="1">'LLM Calc'!$A$11:$J$11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6" i="1" l="1"/>
  <c r="H5" i="1"/>
  <c r="E30" i="1" l="1"/>
  <c r="E20" i="1"/>
  <c r="E19" i="1"/>
  <c r="E18" i="1"/>
  <c r="E26" i="1"/>
  <c r="E24" i="1"/>
  <c r="E15" i="1"/>
  <c r="E17" i="1"/>
  <c r="E16" i="1"/>
  <c r="E29" i="1"/>
  <c r="E22" i="1"/>
  <c r="E25" i="1"/>
  <c r="E13" i="1"/>
  <c r="E21" i="1"/>
  <c r="E28" i="1"/>
  <c r="E23" i="1"/>
  <c r="E14" i="1"/>
  <c r="E12" i="1"/>
  <c r="G12" i="1" s="1"/>
  <c r="E27" i="1"/>
  <c r="F29" i="1"/>
  <c r="F24" i="1"/>
  <c r="F19" i="1"/>
  <c r="F15" i="1"/>
  <c r="F12" i="1"/>
  <c r="F20" i="1"/>
  <c r="F16" i="1"/>
  <c r="F28" i="1"/>
  <c r="F23" i="1"/>
  <c r="F14" i="1"/>
  <c r="F22" i="1"/>
  <c r="F18" i="1"/>
  <c r="F13" i="1"/>
  <c r="F27" i="1"/>
  <c r="F30" i="1"/>
  <c r="F21" i="1"/>
  <c r="F25" i="1"/>
  <c r="F17" i="1"/>
  <c r="F26" i="1"/>
  <c r="E12" i="4"/>
  <c r="E6" i="4"/>
  <c r="E8" i="4"/>
  <c r="E10" i="4"/>
  <c r="E9" i="4"/>
  <c r="E3" i="4"/>
  <c r="E11" i="4"/>
  <c r="E5" i="4"/>
  <c r="E4" i="4"/>
  <c r="E7" i="4"/>
  <c r="F12" i="4"/>
  <c r="F6" i="4"/>
  <c r="F11" i="4"/>
  <c r="F8" i="4"/>
  <c r="F10" i="4"/>
  <c r="F9" i="4"/>
  <c r="F3" i="4"/>
  <c r="F5" i="4"/>
  <c r="F7" i="4"/>
  <c r="F4" i="4"/>
  <c r="H7" i="1"/>
  <c r="G7" i="4" l="1"/>
  <c r="H7" i="4" s="1"/>
  <c r="G29" i="1"/>
  <c r="H29" i="1" s="1"/>
  <c r="G16" i="1"/>
  <c r="H16" i="1" s="1"/>
  <c r="G26" i="1"/>
  <c r="H26" i="1" s="1"/>
  <c r="G22" i="1"/>
  <c r="H22" i="1" s="1"/>
  <c r="G25" i="1"/>
  <c r="H25" i="1" s="1"/>
  <c r="G13" i="1"/>
  <c r="H13" i="1" s="1"/>
  <c r="G17" i="1"/>
  <c r="H17" i="1" s="1"/>
  <c r="G27" i="1"/>
  <c r="H27" i="1" s="1"/>
  <c r="G15" i="1"/>
  <c r="H15" i="1" s="1"/>
  <c r="G14" i="1"/>
  <c r="H14" i="1" s="1"/>
  <c r="H12" i="1"/>
  <c r="G24" i="1"/>
  <c r="H24" i="1" s="1"/>
  <c r="G23" i="1"/>
  <c r="H23" i="1" s="1"/>
  <c r="G18" i="1"/>
  <c r="H18" i="1" s="1"/>
  <c r="G28" i="1"/>
  <c r="H28" i="1" s="1"/>
  <c r="G19" i="1"/>
  <c r="H19" i="1" s="1"/>
  <c r="G21" i="1"/>
  <c r="H21" i="1" s="1"/>
  <c r="G20" i="1"/>
  <c r="H20" i="1" s="1"/>
  <c r="G30" i="1"/>
  <c r="H30" i="1" s="1"/>
  <c r="G5" i="4"/>
  <c r="H5" i="4" s="1"/>
  <c r="G6" i="4"/>
  <c r="H6" i="4" s="1"/>
  <c r="G11" i="4"/>
  <c r="H11" i="4" s="1"/>
  <c r="G4" i="4"/>
  <c r="H4" i="4" s="1"/>
  <c r="G3" i="4"/>
  <c r="H3" i="4" s="1"/>
  <c r="G9" i="4"/>
  <c r="H9" i="4" s="1"/>
  <c r="G10" i="4"/>
  <c r="H10" i="4" s="1"/>
  <c r="G8" i="4"/>
  <c r="H8" i="4" s="1"/>
  <c r="G12" i="4"/>
  <c r="H12" i="4" s="1"/>
</calcChain>
</file>

<file path=xl/sharedStrings.xml><?xml version="1.0" encoding="utf-8"?>
<sst xmlns="http://schemas.openxmlformats.org/spreadsheetml/2006/main" count="192" uniqueCount="108">
  <si>
    <t>Parameter</t>
  </si>
  <si>
    <t>Value</t>
  </si>
  <si>
    <t>Notes</t>
  </si>
  <si>
    <t>Cost Mgmt Strategy, to be implemented in Solution</t>
  </si>
  <si>
    <t>Metric</t>
  </si>
  <si>
    <t>Formula</t>
  </si>
  <si>
    <t>1. Text</t>
  </si>
  <si>
    <t>Users</t>
  </si>
  <si>
    <t>?</t>
  </si>
  <si>
    <t>"Cache repeat answers in databse"</t>
  </si>
  <si>
    <t>Total Chats</t>
  </si>
  <si>
    <t>2. Audio</t>
  </si>
  <si>
    <t>Chats/User/Day</t>
  </si>
  <si>
    <t>"Restrict Chats per day for every user"</t>
  </si>
  <si>
    <t>Input Tokens/Chat</t>
  </si>
  <si>
    <t>3. Video</t>
  </si>
  <si>
    <t>Days/Month</t>
  </si>
  <si>
    <t>N/A</t>
  </si>
  <si>
    <t>Output Tokens/Chat</t>
  </si>
  <si>
    <t>4. Data</t>
  </si>
  <si>
    <t>Input Words/Chat</t>
  </si>
  <si>
    <t>Typical 10/12 word / Sentence</t>
  </si>
  <si>
    <t>"Input restricted to max 2 lines"</t>
  </si>
  <si>
    <t>Total Input Tokens</t>
  </si>
  <si>
    <t>5. Code</t>
  </si>
  <si>
    <t>Output Words/Chat</t>
  </si>
  <si>
    <t>"Answer in max 10 sentences and refer to the source page/section</t>
  </si>
  <si>
    <t>Total Output Tokens</t>
  </si>
  <si>
    <t>6. Images</t>
  </si>
  <si>
    <t>Tokens per Word</t>
  </si>
  <si>
    <t>Total Tokens (Mn)</t>
  </si>
  <si>
    <t>Exchange Rate (USD→INR)</t>
  </si>
  <si>
    <t>LLM Co</t>
  </si>
  <si>
    <t>Model</t>
  </si>
  <si>
    <t>PRICE
Input $/1M</t>
  </si>
  <si>
    <t>PRICE
Output $/1M</t>
  </si>
  <si>
    <t>USAGE
Input Tokens (Mn)</t>
  </si>
  <si>
    <t>USAGE
output Tokens (Mn)</t>
  </si>
  <si>
    <t>USD Cost PM</t>
  </si>
  <si>
    <t>INR Cost PM</t>
  </si>
  <si>
    <t>Best Used For</t>
  </si>
  <si>
    <t>Status</t>
  </si>
  <si>
    <t>OpenAI</t>
  </si>
  <si>
    <t>GPT-4o Mini</t>
  </si>
  <si>
    <t>Chatbots, SOP, copilots</t>
  </si>
  <si>
    <t>✅ Official</t>
  </si>
  <si>
    <t>GPT-4o</t>
  </si>
  <si>
    <t>Multimodal apps</t>
  </si>
  <si>
    <t>GPT-4.1 Mini</t>
  </si>
  <si>
    <t>Cost-efficient agents</t>
  </si>
  <si>
    <t>GPT-4.1</t>
  </si>
  <si>
    <t>Large context workflows</t>
  </si>
  <si>
    <t>GPT-5 Mini</t>
  </si>
  <si>
    <t>Production AI agents</t>
  </si>
  <si>
    <t>⚠️ Semi-official range</t>
  </si>
  <si>
    <t>GPT-5</t>
  </si>
  <si>
    <t>Advanced reasoning</t>
  </si>
  <si>
    <t>⚠️ Range varies</t>
  </si>
  <si>
    <t>Anthropic</t>
  </si>
  <si>
    <t>Claude Haiku 4.x</t>
  </si>
  <si>
    <t>Chatbots, support</t>
  </si>
  <si>
    <t>⚠️ Official site ranges</t>
  </si>
  <si>
    <t>Claude Sonnet 4.x</t>
  </si>
  <si>
    <t>Enterprise workflows</t>
  </si>
  <si>
    <t>⚠️ Official ranges</t>
  </si>
  <si>
    <t>Claude Opus 4.x</t>
  </si>
  <si>
    <t>Critical reasoning</t>
  </si>
  <si>
    <t>Alibaba</t>
  </si>
  <si>
    <t>Qwen 2.5</t>
  </si>
  <si>
    <t>Ultra-low cost chatbots, SOP</t>
  </si>
  <si>
    <t>⚠️ Not directly verifiable on official site</t>
  </si>
  <si>
    <t>Claude Opus</t>
  </si>
  <si>
    <t>Deep reasoning, legal, pharma</t>
  </si>
  <si>
    <t>⚠️ Older naming (see Opus 4.x)</t>
  </si>
  <si>
    <t>DeepSeek</t>
  </si>
  <si>
    <t>DeepSeek V3</t>
  </si>
  <si>
    <t>Low-cost high-quality chat</t>
  </si>
  <si>
    <t>⚠️ Not from official site</t>
  </si>
  <si>
    <t>Google</t>
  </si>
  <si>
    <t>Gemini 1.5 Flash</t>
  </si>
  <si>
    <t>High-volume chatbot</t>
  </si>
  <si>
    <t>⚠️ Approx (official varies by region)</t>
  </si>
  <si>
    <t>Gemini 2.5 Flash</t>
  </si>
  <si>
    <t>Scalable enterprise workflows</t>
  </si>
  <si>
    <t>⚠️ Approx</t>
  </si>
  <si>
    <t>Gemini 2.5 Pro</t>
  </si>
  <si>
    <t>Gemini 3.1 Flash Lite</t>
  </si>
  <si>
    <t>Ultra high-volume workloads</t>
  </si>
  <si>
    <t>⚠️ Not yet standardized</t>
  </si>
  <si>
    <t>Meta</t>
  </si>
  <si>
    <t>LLaMA 3 70B</t>
  </si>
  <si>
    <t>Self-hosted / infra-based</t>
  </si>
  <si>
    <t>❌ Meta doesn’t publish API pricing</t>
  </si>
  <si>
    <t>Mistral</t>
  </si>
  <si>
    <t>Mixtral 8x7B</t>
  </si>
  <si>
    <t>Low-cost enterprise inference</t>
  </si>
  <si>
    <t>⚠️ Provider-dependent</t>
  </si>
  <si>
    <t>Mistral Medium</t>
  </si>
  <si>
    <t>Balanced enterprise workloads</t>
  </si>
  <si>
    <t>Input $/1M</t>
  </si>
  <si>
    <t>Output $/1M</t>
  </si>
  <si>
    <t>Input Tokens (Mn)</t>
  </si>
  <si>
    <t>Output Tokens (Mn)</t>
  </si>
  <si>
    <t>USD Cost</t>
  </si>
  <si>
    <t>INR / PM</t>
  </si>
  <si>
    <t>Claude Haiku 4.5</t>
  </si>
  <si>
    <t>Claude Sonnet 4.6</t>
  </si>
  <si>
    <t>Claude Opus 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</si>
</sst>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 [$₹-4009]\ * #,##0_ ;_ [$₹-4009]\ * \-#,##0_ ;_ [$₹-4009]\ * &quot;-&quot;_ ;_ @_ 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66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3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0" xfId="2" applyFont="1" applyAlignment="1">
      <alignment horizontal="right" vertical="center"/>
    </xf>
    <xf numFmtId="0" fontId="3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7" fontId="0" fillId="6" borderId="0" xfId="1" applyNumberFormat="1" applyFont="1" applyFill="1" applyAlignment="1">
      <alignment horizontal="right" vertical="center"/>
    </xf>
    <xf numFmtId="167" fontId="0" fillId="0" borderId="0" xfId="1" applyNumberFormat="1" applyFont="1" applyFill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167" fontId="10" fillId="0" borderId="0" xfId="1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8" fillId="8" borderId="0" xfId="0" applyFont="1" applyFill="1" applyAlignment="1">
      <alignment horizontal="right" vertical="center" wrapText="1"/>
    </xf>
    <xf numFmtId="0" fontId="0" fillId="0" borderId="0" xfId="0" applyAlignment="1">
      <alignment vertical="top"/>
    </xf>
    <xf numFmtId="0" fontId="0" fillId="5" borderId="0" xfId="0" applyFill="1" applyAlignment="1">
      <alignment vertical="center"/>
    </xf>
    <xf numFmtId="0" fontId="0" fillId="7" borderId="0" xfId="0" applyFill="1" applyAlignment="1">
      <alignment horizontal="left" vertical="top" wrapText="1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7" borderId="0" xfId="0" applyFill="1" applyAlignment="1">
      <alignment horizontal="left" vertical="top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lvimon.com/pricing-guides/openai-vs-gemini?utm_source=chatgpt.com" TargetMode="External"/><Relationship Id="rId2" Type="http://schemas.openxmlformats.org/officeDocument/2006/relationships/hyperlink" Target="https://llm-stats.com/models/gpt-4.1-mini-2025-04-14?utm_source=chatgpt.com" TargetMode="External"/><Relationship Id="rId1" Type="http://schemas.openxmlformats.org/officeDocument/2006/relationships/hyperlink" Target="https://www.solvimon.com/pricing-guides/openai-vs-gemini?utm_source=chatgpt.com" TargetMode="External"/><Relationship Id="rId4" Type="http://schemas.openxmlformats.org/officeDocument/2006/relationships/hyperlink" Target="https://developers.openai.com/api/docs/models/compare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C9" zoomScale="115" zoomScaleNormal="115" workbookViewId="0">
      <selection activeCell="E9" sqref="E9"/>
    </sheetView>
  </sheetViews>
  <sheetFormatPr defaultColWidth="12.44140625" defaultRowHeight="13.35" customHeight="1" x14ac:dyDescent="0.3"/>
  <cols>
    <col min="1" max="1" width="23" style="9" bestFit="1" customWidth="1"/>
    <col min="2" max="2" width="17.6640625" style="9" customWidth="1"/>
    <col min="3" max="6" width="14.6640625" style="9" customWidth="1"/>
    <col min="7" max="7" width="17.6640625" style="9" customWidth="1"/>
    <col min="8" max="8" width="14.6640625" style="9" customWidth="1"/>
    <col min="9" max="9" width="26.5546875" style="9" customWidth="1"/>
    <col min="10" max="10" width="37.5546875" style="9" customWidth="1"/>
    <col min="11" max="16384" width="12.44140625" style="9"/>
  </cols>
  <sheetData>
    <row r="1" spans="1:10" ht="13.35" customHeight="1" x14ac:dyDescent="0.3">
      <c r="A1" s="8" t="s">
        <v>0</v>
      </c>
      <c r="B1" s="8" t="s">
        <v>1</v>
      </c>
      <c r="C1" s="8" t="s">
        <v>2</v>
      </c>
      <c r="D1" s="26" t="s">
        <v>3</v>
      </c>
      <c r="E1" s="26"/>
      <c r="F1" s="26"/>
      <c r="G1" s="8" t="s">
        <v>4</v>
      </c>
      <c r="H1" s="8" t="s">
        <v>5</v>
      </c>
      <c r="J1" s="9" t="s">
        <v>6</v>
      </c>
    </row>
    <row r="2" spans="1:10" ht="13.35" customHeight="1" x14ac:dyDescent="0.3">
      <c r="A2" s="9" t="s">
        <v>7</v>
      </c>
      <c r="B2" s="10">
        <v>50</v>
      </c>
      <c r="C2" s="9" t="s">
        <v>8</v>
      </c>
      <c r="D2" s="28" t="s">
        <v>9</v>
      </c>
      <c r="E2" s="28"/>
      <c r="F2" s="28"/>
      <c r="G2" s="9" t="s">
        <v>10</v>
      </c>
      <c r="H2" s="11">
        <f>'LLM Calc'!B2*'LLM Calc'!B3*'LLM Calc'!B4</f>
        <v>10000</v>
      </c>
      <c r="J2" s="9" t="s">
        <v>11</v>
      </c>
    </row>
    <row r="3" spans="1:10" ht="13.35" customHeight="1" x14ac:dyDescent="0.3">
      <c r="A3" s="9" t="s">
        <v>12</v>
      </c>
      <c r="B3" s="10">
        <v>10</v>
      </c>
      <c r="C3" s="9" t="s">
        <v>8</v>
      </c>
      <c r="D3" s="25" t="s">
        <v>13</v>
      </c>
      <c r="E3" s="25"/>
      <c r="F3" s="25"/>
      <c r="G3" s="9" t="s">
        <v>14</v>
      </c>
      <c r="H3" s="11">
        <f>B5*B7</f>
        <v>32.5</v>
      </c>
      <c r="J3" s="9" t="s">
        <v>15</v>
      </c>
    </row>
    <row r="4" spans="1:10" ht="13.35" customHeight="1" x14ac:dyDescent="0.3">
      <c r="A4" s="9" t="s">
        <v>16</v>
      </c>
      <c r="B4" s="10">
        <v>20</v>
      </c>
      <c r="C4" s="9" t="s">
        <v>8</v>
      </c>
      <c r="D4" s="23" t="s">
        <v>17</v>
      </c>
      <c r="E4" s="23"/>
      <c r="F4" s="23"/>
      <c r="G4" s="9" t="s">
        <v>18</v>
      </c>
      <c r="H4" s="11">
        <f>B6*B7</f>
        <v>325</v>
      </c>
      <c r="J4" s="9" t="s">
        <v>19</v>
      </c>
    </row>
    <row r="5" spans="1:10" ht="13.35" customHeight="1" x14ac:dyDescent="0.3">
      <c r="A5" s="9" t="s">
        <v>20</v>
      </c>
      <c r="B5" s="10">
        <v>25</v>
      </c>
      <c r="C5" s="27" t="s">
        <v>21</v>
      </c>
      <c r="D5" s="25" t="s">
        <v>22</v>
      </c>
      <c r="E5" s="25"/>
      <c r="F5" s="25"/>
      <c r="G5" s="9" t="s">
        <v>23</v>
      </c>
      <c r="H5" s="24">
        <f>H2*H3</f>
        <v>325000</v>
      </c>
      <c r="J5" s="9" t="s">
        <v>24</v>
      </c>
    </row>
    <row r="6" spans="1:10" ht="15" customHeight="1" x14ac:dyDescent="0.3">
      <c r="A6" s="9" t="s">
        <v>25</v>
      </c>
      <c r="B6" s="10">
        <v>250</v>
      </c>
      <c r="C6" s="27"/>
      <c r="D6" s="25" t="s">
        <v>26</v>
      </c>
      <c r="E6" s="25"/>
      <c r="F6" s="25"/>
      <c r="G6" s="9" t="s">
        <v>27</v>
      </c>
      <c r="H6" s="24">
        <f>H2*H4</f>
        <v>3250000</v>
      </c>
      <c r="J6" s="9" t="s">
        <v>28</v>
      </c>
    </row>
    <row r="7" spans="1:10" ht="13.35" customHeight="1" x14ac:dyDescent="0.3">
      <c r="A7" s="9" t="s">
        <v>29</v>
      </c>
      <c r="B7" s="11">
        <v>1.3</v>
      </c>
      <c r="C7" s="9" t="s">
        <v>17</v>
      </c>
      <c r="G7" s="9" t="s">
        <v>30</v>
      </c>
      <c r="H7" s="21">
        <f>(H6+H5)/10^6</f>
        <v>3.5750000000000002</v>
      </c>
    </row>
    <row r="8" spans="1:10" ht="13.35" customHeight="1" x14ac:dyDescent="0.3">
      <c r="A8" s="9" t="s">
        <v>31</v>
      </c>
      <c r="B8" s="11">
        <v>91</v>
      </c>
      <c r="C8" s="9" t="s">
        <v>17</v>
      </c>
    </row>
    <row r="11" spans="1:10" s="4" customFormat="1" ht="26.4" customHeight="1" x14ac:dyDescent="0.3">
      <c r="A11" s="15" t="s">
        <v>32</v>
      </c>
      <c r="B11" s="15" t="s">
        <v>33</v>
      </c>
      <c r="C11" s="15" t="s">
        <v>34</v>
      </c>
      <c r="D11" s="15" t="s">
        <v>35</v>
      </c>
      <c r="E11" s="16" t="s">
        <v>36</v>
      </c>
      <c r="F11" s="16" t="s">
        <v>37</v>
      </c>
      <c r="G11" s="16" t="s">
        <v>38</v>
      </c>
      <c r="H11" s="16" t="s">
        <v>39</v>
      </c>
      <c r="I11" s="15" t="s">
        <v>40</v>
      </c>
      <c r="J11" s="15" t="s">
        <v>41</v>
      </c>
    </row>
    <row r="12" spans="1:10" ht="13.35" customHeight="1" x14ac:dyDescent="0.3">
      <c r="A12" s="6" t="s">
        <v>42</v>
      </c>
      <c r="B12" s="7" t="s">
        <v>43</v>
      </c>
      <c r="C12" s="22">
        <v>0.15</v>
      </c>
      <c r="D12" s="22">
        <v>0.6</v>
      </c>
      <c r="E12" s="13">
        <f>$H$5/10^6</f>
        <v>0.32500000000000001</v>
      </c>
      <c r="F12" s="13">
        <f>$H$6/10^6</f>
        <v>3.25</v>
      </c>
      <c r="G12" s="14">
        <f>(C12*E12)+(D12*F12)</f>
        <v>1.99875</v>
      </c>
      <c r="H12" s="17">
        <f>G12*$B$8</f>
        <v>181.88624999999999</v>
      </c>
      <c r="I12" s="12" t="s">
        <v>44</v>
      </c>
      <c r="J12" s="12" t="s">
        <v>45</v>
      </c>
    </row>
    <row r="13" spans="1:10" ht="13.35" customHeight="1" x14ac:dyDescent="0.3">
      <c r="A13" s="6" t="s">
        <v>42</v>
      </c>
      <c r="B13" s="7" t="s">
        <v>46</v>
      </c>
      <c r="C13" s="22">
        <v>2.5</v>
      </c>
      <c r="D13" s="22">
        <v>10</v>
      </c>
      <c r="E13" s="13">
        <f t="shared" ref="E13:E30" si="0">$H$5/10^6</f>
        <v>0.32500000000000001</v>
      </c>
      <c r="F13" s="13">
        <f t="shared" ref="F13:F30" si="1">$H$6/10^6</f>
        <v>3.25</v>
      </c>
      <c r="G13" s="14">
        <f t="shared" ref="G13:G30" si="2">(C13*E13)+(D13*F13)</f>
        <v>33.3125</v>
      </c>
      <c r="H13" s="18">
        <f t="shared" ref="H13:H30" si="3">G13*$B$8</f>
        <v>3031.4375</v>
      </c>
      <c r="I13" s="12" t="s">
        <v>47</v>
      </c>
      <c r="J13" s="12" t="s">
        <v>45</v>
      </c>
    </row>
    <row r="14" spans="1:10" ht="13.35" customHeight="1" x14ac:dyDescent="0.3">
      <c r="A14" s="6" t="s">
        <v>42</v>
      </c>
      <c r="B14" s="7" t="s">
        <v>48</v>
      </c>
      <c r="C14" s="22">
        <v>0.4</v>
      </c>
      <c r="D14" s="22">
        <v>1.6</v>
      </c>
      <c r="E14" s="13">
        <f t="shared" si="0"/>
        <v>0.32500000000000001</v>
      </c>
      <c r="F14" s="13">
        <f t="shared" si="1"/>
        <v>3.25</v>
      </c>
      <c r="G14" s="14">
        <f t="shared" si="2"/>
        <v>5.33</v>
      </c>
      <c r="H14" s="17">
        <f t="shared" si="3"/>
        <v>485.03000000000003</v>
      </c>
      <c r="I14" s="12" t="s">
        <v>49</v>
      </c>
      <c r="J14" s="12" t="s">
        <v>45</v>
      </c>
    </row>
    <row r="15" spans="1:10" ht="13.35" customHeight="1" x14ac:dyDescent="0.3">
      <c r="A15" s="6" t="s">
        <v>42</v>
      </c>
      <c r="B15" s="7" t="s">
        <v>50</v>
      </c>
      <c r="C15" s="22">
        <v>2</v>
      </c>
      <c r="D15" s="22">
        <v>8</v>
      </c>
      <c r="E15" s="13">
        <f t="shared" si="0"/>
        <v>0.32500000000000001</v>
      </c>
      <c r="F15" s="13">
        <f t="shared" si="1"/>
        <v>3.25</v>
      </c>
      <c r="G15" s="14">
        <f t="shared" si="2"/>
        <v>26.65</v>
      </c>
      <c r="H15" s="18">
        <f t="shared" si="3"/>
        <v>2425.15</v>
      </c>
      <c r="I15" s="12" t="s">
        <v>51</v>
      </c>
      <c r="J15" s="12" t="s">
        <v>45</v>
      </c>
    </row>
    <row r="16" spans="1:10" ht="13.35" customHeight="1" x14ac:dyDescent="0.3">
      <c r="A16" s="6" t="s">
        <v>42</v>
      </c>
      <c r="B16" s="7" t="s">
        <v>52</v>
      </c>
      <c r="C16" s="22">
        <v>0.25</v>
      </c>
      <c r="D16" s="22">
        <v>2</v>
      </c>
      <c r="E16" s="13">
        <f t="shared" si="0"/>
        <v>0.32500000000000001</v>
      </c>
      <c r="F16" s="13">
        <f t="shared" si="1"/>
        <v>3.25</v>
      </c>
      <c r="G16" s="14">
        <f t="shared" si="2"/>
        <v>6.5812499999999998</v>
      </c>
      <c r="H16" s="17">
        <f t="shared" si="3"/>
        <v>598.89374999999995</v>
      </c>
      <c r="I16" s="12" t="s">
        <v>53</v>
      </c>
      <c r="J16" s="12" t="s">
        <v>54</v>
      </c>
    </row>
    <row r="17" spans="1:10" ht="13.35" customHeight="1" x14ac:dyDescent="0.3">
      <c r="A17" s="6" t="s">
        <v>42</v>
      </c>
      <c r="B17" s="7" t="s">
        <v>55</v>
      </c>
      <c r="C17" s="22">
        <v>1.75</v>
      </c>
      <c r="D17" s="22">
        <v>14</v>
      </c>
      <c r="E17" s="13">
        <f t="shared" si="0"/>
        <v>0.32500000000000001</v>
      </c>
      <c r="F17" s="13">
        <f t="shared" si="1"/>
        <v>3.25</v>
      </c>
      <c r="G17" s="14">
        <f t="shared" si="2"/>
        <v>46.068750000000001</v>
      </c>
      <c r="H17" s="18">
        <f t="shared" si="3"/>
        <v>4192.2562500000004</v>
      </c>
      <c r="I17" s="12" t="s">
        <v>56</v>
      </c>
      <c r="J17" s="12" t="s">
        <v>57</v>
      </c>
    </row>
    <row r="18" spans="1:10" ht="13.35" customHeight="1" x14ac:dyDescent="0.3">
      <c r="A18" s="6" t="s">
        <v>58</v>
      </c>
      <c r="B18" s="7" t="s">
        <v>59</v>
      </c>
      <c r="C18" s="22">
        <v>1</v>
      </c>
      <c r="D18" s="22">
        <v>5</v>
      </c>
      <c r="E18" s="13">
        <f t="shared" si="0"/>
        <v>0.32500000000000001</v>
      </c>
      <c r="F18" s="13">
        <f t="shared" si="1"/>
        <v>3.25</v>
      </c>
      <c r="G18" s="14">
        <f t="shared" si="2"/>
        <v>16.574999999999999</v>
      </c>
      <c r="H18" s="18">
        <f t="shared" si="3"/>
        <v>1508.325</v>
      </c>
      <c r="I18" s="12" t="s">
        <v>60</v>
      </c>
      <c r="J18" s="12" t="s">
        <v>61</v>
      </c>
    </row>
    <row r="19" spans="1:10" ht="13.35" customHeight="1" x14ac:dyDescent="0.3">
      <c r="A19" s="6" t="s">
        <v>58</v>
      </c>
      <c r="B19" s="7" t="s">
        <v>62</v>
      </c>
      <c r="C19" s="22">
        <v>3</v>
      </c>
      <c r="D19" s="22">
        <v>15</v>
      </c>
      <c r="E19" s="13">
        <f t="shared" si="0"/>
        <v>0.32500000000000001</v>
      </c>
      <c r="F19" s="13">
        <f t="shared" si="1"/>
        <v>3.25</v>
      </c>
      <c r="G19" s="14">
        <f t="shared" si="2"/>
        <v>49.725000000000001</v>
      </c>
      <c r="H19" s="18">
        <f t="shared" si="3"/>
        <v>4524.9750000000004</v>
      </c>
      <c r="I19" s="12" t="s">
        <v>63</v>
      </c>
      <c r="J19" s="12" t="s">
        <v>64</v>
      </c>
    </row>
    <row r="20" spans="1:10" ht="13.35" customHeight="1" x14ac:dyDescent="0.3">
      <c r="A20" s="6" t="s">
        <v>58</v>
      </c>
      <c r="B20" s="7" t="s">
        <v>65</v>
      </c>
      <c r="C20" s="22">
        <v>5</v>
      </c>
      <c r="D20" s="22">
        <v>25</v>
      </c>
      <c r="E20" s="13">
        <f t="shared" si="0"/>
        <v>0.32500000000000001</v>
      </c>
      <c r="F20" s="13">
        <f t="shared" si="1"/>
        <v>3.25</v>
      </c>
      <c r="G20" s="14">
        <f t="shared" si="2"/>
        <v>82.875</v>
      </c>
      <c r="H20" s="18">
        <f t="shared" si="3"/>
        <v>7541.625</v>
      </c>
      <c r="I20" s="12" t="s">
        <v>66</v>
      </c>
      <c r="J20" s="12" t="s">
        <v>64</v>
      </c>
    </row>
    <row r="21" spans="1:10" ht="13.35" customHeight="1" x14ac:dyDescent="0.3">
      <c r="A21" s="19" t="s">
        <v>67</v>
      </c>
      <c r="B21" s="7" t="s">
        <v>68</v>
      </c>
      <c r="C21" s="22">
        <v>0.1</v>
      </c>
      <c r="D21" s="22">
        <v>0.15</v>
      </c>
      <c r="E21" s="13">
        <f t="shared" si="0"/>
        <v>0.32500000000000001</v>
      </c>
      <c r="F21" s="13">
        <f t="shared" si="1"/>
        <v>3.25</v>
      </c>
      <c r="G21" s="14">
        <f t="shared" si="2"/>
        <v>0.52</v>
      </c>
      <c r="H21" s="20">
        <f t="shared" si="3"/>
        <v>47.32</v>
      </c>
      <c r="I21" s="12" t="s">
        <v>69</v>
      </c>
      <c r="J21" s="12" t="s">
        <v>70</v>
      </c>
    </row>
    <row r="22" spans="1:10" ht="13.35" customHeight="1" x14ac:dyDescent="0.3">
      <c r="A22" s="6" t="s">
        <v>58</v>
      </c>
      <c r="B22" s="7" t="s">
        <v>71</v>
      </c>
      <c r="C22" s="22">
        <v>5</v>
      </c>
      <c r="D22" s="22">
        <v>25</v>
      </c>
      <c r="E22" s="13">
        <f t="shared" si="0"/>
        <v>0.32500000000000001</v>
      </c>
      <c r="F22" s="13">
        <f t="shared" si="1"/>
        <v>3.25</v>
      </c>
      <c r="G22" s="14">
        <f t="shared" si="2"/>
        <v>82.875</v>
      </c>
      <c r="H22" s="18">
        <f t="shared" si="3"/>
        <v>7541.625</v>
      </c>
      <c r="I22" s="12" t="s">
        <v>72</v>
      </c>
      <c r="J22" s="12" t="s">
        <v>73</v>
      </c>
    </row>
    <row r="23" spans="1:10" ht="13.35" customHeight="1" x14ac:dyDescent="0.3">
      <c r="A23" s="19" t="s">
        <v>74</v>
      </c>
      <c r="B23" s="7" t="s">
        <v>75</v>
      </c>
      <c r="C23" s="22">
        <v>0.14000000000000001</v>
      </c>
      <c r="D23" s="22">
        <v>0.28000000000000003</v>
      </c>
      <c r="E23" s="13">
        <f t="shared" si="0"/>
        <v>0.32500000000000001</v>
      </c>
      <c r="F23" s="13">
        <f t="shared" si="1"/>
        <v>3.25</v>
      </c>
      <c r="G23" s="14">
        <f t="shared" si="2"/>
        <v>0.95550000000000013</v>
      </c>
      <c r="H23" s="20">
        <f t="shared" si="3"/>
        <v>86.950500000000005</v>
      </c>
      <c r="I23" s="12" t="s">
        <v>76</v>
      </c>
      <c r="J23" s="12" t="s">
        <v>77</v>
      </c>
    </row>
    <row r="24" spans="1:10" ht="13.35" customHeight="1" x14ac:dyDescent="0.3">
      <c r="A24" s="6" t="s">
        <v>78</v>
      </c>
      <c r="B24" s="7" t="s">
        <v>79</v>
      </c>
      <c r="C24" s="22">
        <v>0.2</v>
      </c>
      <c r="D24" s="22">
        <v>0.8</v>
      </c>
      <c r="E24" s="13">
        <f t="shared" si="0"/>
        <v>0.32500000000000001</v>
      </c>
      <c r="F24" s="13">
        <f t="shared" si="1"/>
        <v>3.25</v>
      </c>
      <c r="G24" s="14">
        <f t="shared" si="2"/>
        <v>2.665</v>
      </c>
      <c r="H24" s="18">
        <f t="shared" si="3"/>
        <v>242.51500000000001</v>
      </c>
      <c r="I24" s="12" t="s">
        <v>80</v>
      </c>
      <c r="J24" s="12" t="s">
        <v>81</v>
      </c>
    </row>
    <row r="25" spans="1:10" ht="13.35" customHeight="1" x14ac:dyDescent="0.3">
      <c r="A25" s="6" t="s">
        <v>78</v>
      </c>
      <c r="B25" s="7" t="s">
        <v>82</v>
      </c>
      <c r="C25" s="22">
        <v>0.3</v>
      </c>
      <c r="D25" s="22">
        <v>2.5</v>
      </c>
      <c r="E25" s="13">
        <f t="shared" si="0"/>
        <v>0.32500000000000001</v>
      </c>
      <c r="F25" s="13">
        <f t="shared" si="1"/>
        <v>3.25</v>
      </c>
      <c r="G25" s="14">
        <f t="shared" si="2"/>
        <v>8.2225000000000001</v>
      </c>
      <c r="H25" s="17">
        <f t="shared" si="3"/>
        <v>748.24750000000006</v>
      </c>
      <c r="I25" s="12" t="s">
        <v>83</v>
      </c>
      <c r="J25" s="12" t="s">
        <v>84</v>
      </c>
    </row>
    <row r="26" spans="1:10" ht="13.35" customHeight="1" x14ac:dyDescent="0.3">
      <c r="A26" s="6" t="s">
        <v>78</v>
      </c>
      <c r="B26" s="7" t="s">
        <v>85</v>
      </c>
      <c r="C26" s="22">
        <v>1.25</v>
      </c>
      <c r="D26" s="22">
        <v>10</v>
      </c>
      <c r="E26" s="13">
        <f t="shared" si="0"/>
        <v>0.32500000000000001</v>
      </c>
      <c r="F26" s="13">
        <f t="shared" si="1"/>
        <v>3.25</v>
      </c>
      <c r="G26" s="14">
        <f t="shared" si="2"/>
        <v>32.90625</v>
      </c>
      <c r="H26" s="18">
        <f t="shared" si="3"/>
        <v>2994.46875</v>
      </c>
      <c r="I26" s="12" t="s">
        <v>56</v>
      </c>
      <c r="J26" s="12" t="s">
        <v>84</v>
      </c>
    </row>
    <row r="27" spans="1:10" ht="13.35" customHeight="1" x14ac:dyDescent="0.3">
      <c r="A27" s="6" t="s">
        <v>78</v>
      </c>
      <c r="B27" s="7" t="s">
        <v>86</v>
      </c>
      <c r="C27" s="22">
        <v>0.25</v>
      </c>
      <c r="D27" s="22">
        <v>1.5</v>
      </c>
      <c r="E27" s="13">
        <f t="shared" si="0"/>
        <v>0.32500000000000001</v>
      </c>
      <c r="F27" s="13">
        <f t="shared" si="1"/>
        <v>3.25</v>
      </c>
      <c r="G27" s="14">
        <f t="shared" si="2"/>
        <v>4.9562499999999998</v>
      </c>
      <c r="H27" s="18">
        <f t="shared" si="3"/>
        <v>451.01875000000001</v>
      </c>
      <c r="I27" s="12" t="s">
        <v>87</v>
      </c>
      <c r="J27" s="12" t="s">
        <v>88</v>
      </c>
    </row>
    <row r="28" spans="1:10" ht="13.35" customHeight="1" x14ac:dyDescent="0.3">
      <c r="A28" s="6" t="s">
        <v>89</v>
      </c>
      <c r="B28" s="7" t="s">
        <v>90</v>
      </c>
      <c r="C28" s="22">
        <v>0.57999999999999996</v>
      </c>
      <c r="D28" s="22">
        <v>0.71</v>
      </c>
      <c r="E28" s="13">
        <f t="shared" si="0"/>
        <v>0.32500000000000001</v>
      </c>
      <c r="F28" s="13">
        <f t="shared" si="1"/>
        <v>3.25</v>
      </c>
      <c r="G28" s="14">
        <f t="shared" si="2"/>
        <v>2.496</v>
      </c>
      <c r="H28" s="18">
        <f t="shared" si="3"/>
        <v>227.136</v>
      </c>
      <c r="I28" s="12" t="s">
        <v>91</v>
      </c>
      <c r="J28" s="12" t="s">
        <v>92</v>
      </c>
    </row>
    <row r="29" spans="1:10" ht="13.35" customHeight="1" x14ac:dyDescent="0.3">
      <c r="A29" s="6" t="s">
        <v>93</v>
      </c>
      <c r="B29" s="7" t="s">
        <v>94</v>
      </c>
      <c r="C29" s="22">
        <v>0.14000000000000001</v>
      </c>
      <c r="D29" s="22">
        <v>0.42</v>
      </c>
      <c r="E29" s="13">
        <f t="shared" si="0"/>
        <v>0.32500000000000001</v>
      </c>
      <c r="F29" s="13">
        <f t="shared" si="1"/>
        <v>3.25</v>
      </c>
      <c r="G29" s="14">
        <f t="shared" si="2"/>
        <v>1.4105000000000001</v>
      </c>
      <c r="H29" s="18">
        <f t="shared" si="3"/>
        <v>128.35550000000001</v>
      </c>
      <c r="I29" s="12" t="s">
        <v>95</v>
      </c>
      <c r="J29" s="12" t="s">
        <v>96</v>
      </c>
    </row>
    <row r="30" spans="1:10" ht="13.35" customHeight="1" x14ac:dyDescent="0.3">
      <c r="A30" s="6" t="s">
        <v>93</v>
      </c>
      <c r="B30" s="7" t="s">
        <v>97</v>
      </c>
      <c r="C30" s="22">
        <v>0.4</v>
      </c>
      <c r="D30" s="22">
        <v>2</v>
      </c>
      <c r="E30" s="13">
        <f t="shared" si="0"/>
        <v>0.32500000000000001</v>
      </c>
      <c r="F30" s="13">
        <f t="shared" si="1"/>
        <v>3.25</v>
      </c>
      <c r="G30" s="14">
        <f t="shared" si="2"/>
        <v>6.63</v>
      </c>
      <c r="H30" s="18">
        <f t="shared" si="3"/>
        <v>603.33000000000004</v>
      </c>
      <c r="I30" s="12" t="s">
        <v>98</v>
      </c>
      <c r="J30" s="12" t="s">
        <v>84</v>
      </c>
    </row>
  </sheetData>
  <autoFilter ref="A11:J11" xr:uid="{00000000-0001-0000-0000-000000000000}"/>
  <mergeCells count="6">
    <mergeCell ref="D6:F6"/>
    <mergeCell ref="D5:F5"/>
    <mergeCell ref="D3:F3"/>
    <mergeCell ref="D1:F1"/>
    <mergeCell ref="C5:C6"/>
    <mergeCell ref="D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C977-D599-4A5D-83CB-6C16E0692320}">
  <dimension ref="A2:H35"/>
  <sheetViews>
    <sheetView tabSelected="1" workbookViewId="0">
      <selection activeCell="F3" sqref="F3"/>
    </sheetView>
  </sheetViews>
  <sheetFormatPr defaultRowHeight="14.4" x14ac:dyDescent="0.3"/>
  <sheetData>
    <row r="2" spans="1:8" x14ac:dyDescent="0.3">
      <c r="A2" s="1" t="s">
        <v>32</v>
      </c>
      <c r="B2" s="1" t="s">
        <v>33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</row>
    <row r="3" spans="1:8" x14ac:dyDescent="0.3">
      <c r="A3" t="s">
        <v>67</v>
      </c>
      <c r="B3" t="s">
        <v>68</v>
      </c>
      <c r="C3">
        <v>0.1</v>
      </c>
      <c r="D3">
        <v>0.15</v>
      </c>
      <c r="E3">
        <f>'LLM Calc'!$H$5/10^6</f>
        <v>0.32500000000000001</v>
      </c>
      <c r="F3">
        <f>'LLM Calc'!$H$6/10^6</f>
        <v>3.25</v>
      </c>
      <c r="G3">
        <f t="shared" ref="G3:G12" si="0">(C3*E3)+(D3*F3)</f>
        <v>0.52</v>
      </c>
      <c r="H3" s="2">
        <f>G3*'LLM Calc'!$B$8</f>
        <v>47.32</v>
      </c>
    </row>
    <row r="4" spans="1:8" x14ac:dyDescent="0.3">
      <c r="A4" t="s">
        <v>58</v>
      </c>
      <c r="B4" t="s">
        <v>71</v>
      </c>
      <c r="C4">
        <v>5</v>
      </c>
      <c r="D4">
        <v>25</v>
      </c>
      <c r="E4">
        <f>'LLM Calc'!$H$5/10^6</f>
        <v>0.32500000000000001</v>
      </c>
      <c r="F4">
        <f>'LLM Calc'!$H$6/10^6</f>
        <v>3.25</v>
      </c>
      <c r="G4">
        <f t="shared" si="0"/>
        <v>82.875</v>
      </c>
      <c r="H4" s="2">
        <f>G4*'LLM Calc'!$B$8</f>
        <v>7541.625</v>
      </c>
    </row>
    <row r="5" spans="1:8" x14ac:dyDescent="0.3">
      <c r="A5" t="s">
        <v>74</v>
      </c>
      <c r="B5" t="s">
        <v>75</v>
      </c>
      <c r="C5">
        <v>0.14000000000000001</v>
      </c>
      <c r="D5">
        <v>0.28000000000000003</v>
      </c>
      <c r="E5">
        <f>'LLM Calc'!$H$5/10^6</f>
        <v>0.32500000000000001</v>
      </c>
      <c r="F5">
        <f>'LLM Calc'!$H$6/10^6</f>
        <v>3.25</v>
      </c>
      <c r="G5">
        <f t="shared" si="0"/>
        <v>0.95550000000000013</v>
      </c>
      <c r="H5" s="2">
        <f>G5*'LLM Calc'!$B$8</f>
        <v>86.950500000000005</v>
      </c>
    </row>
    <row r="6" spans="1:8" x14ac:dyDescent="0.3">
      <c r="A6" t="s">
        <v>78</v>
      </c>
      <c r="B6" t="s">
        <v>82</v>
      </c>
      <c r="C6">
        <v>0.3</v>
      </c>
      <c r="D6">
        <v>2.5</v>
      </c>
      <c r="E6">
        <f>'LLM Calc'!$H$5/10^6</f>
        <v>0.32500000000000001</v>
      </c>
      <c r="F6">
        <f>'LLM Calc'!$H$6/10^6</f>
        <v>3.25</v>
      </c>
      <c r="G6">
        <f t="shared" si="0"/>
        <v>8.2225000000000001</v>
      </c>
      <c r="H6" s="2">
        <f>G6*'LLM Calc'!$B$8</f>
        <v>748.24750000000006</v>
      </c>
    </row>
    <row r="7" spans="1:8" x14ac:dyDescent="0.3">
      <c r="A7" t="s">
        <v>78</v>
      </c>
      <c r="B7" t="s">
        <v>85</v>
      </c>
      <c r="C7">
        <v>1.25</v>
      </c>
      <c r="D7">
        <v>10</v>
      </c>
      <c r="E7">
        <f>'LLM Calc'!$H$5/10^6</f>
        <v>0.32500000000000001</v>
      </c>
      <c r="F7">
        <f>'LLM Calc'!$H$6/10^6</f>
        <v>3.25</v>
      </c>
      <c r="G7">
        <f t="shared" si="0"/>
        <v>32.90625</v>
      </c>
      <c r="H7" s="2">
        <f>G7*'LLM Calc'!$B$8</f>
        <v>2994.46875</v>
      </c>
    </row>
    <row r="8" spans="1:8" x14ac:dyDescent="0.3">
      <c r="A8" t="s">
        <v>89</v>
      </c>
      <c r="B8" t="s">
        <v>90</v>
      </c>
      <c r="C8">
        <v>0.57999999999999996</v>
      </c>
      <c r="D8">
        <v>0.71</v>
      </c>
      <c r="E8">
        <f>'LLM Calc'!$H$5/10^6</f>
        <v>0.32500000000000001</v>
      </c>
      <c r="F8">
        <f>'LLM Calc'!$H$6/10^6</f>
        <v>3.25</v>
      </c>
      <c r="G8">
        <f t="shared" si="0"/>
        <v>2.496</v>
      </c>
      <c r="H8" s="2">
        <f>G8*'LLM Calc'!$B$8</f>
        <v>227.136</v>
      </c>
    </row>
    <row r="9" spans="1:8" x14ac:dyDescent="0.3">
      <c r="A9" t="s">
        <v>93</v>
      </c>
      <c r="B9" t="s">
        <v>94</v>
      </c>
      <c r="C9">
        <v>0.14000000000000001</v>
      </c>
      <c r="D9">
        <v>0.42</v>
      </c>
      <c r="E9">
        <f>'LLM Calc'!$H$5/10^6</f>
        <v>0.32500000000000001</v>
      </c>
      <c r="F9">
        <f>'LLM Calc'!$H$6/10^6</f>
        <v>3.25</v>
      </c>
      <c r="G9">
        <f t="shared" si="0"/>
        <v>1.4105000000000001</v>
      </c>
      <c r="H9" s="2">
        <f>G9*'LLM Calc'!$B$8</f>
        <v>128.35550000000001</v>
      </c>
    </row>
    <row r="10" spans="1:8" x14ac:dyDescent="0.3">
      <c r="A10" t="s">
        <v>93</v>
      </c>
      <c r="B10" t="s">
        <v>97</v>
      </c>
      <c r="C10">
        <v>0.4</v>
      </c>
      <c r="D10">
        <v>2</v>
      </c>
      <c r="E10">
        <f>'LLM Calc'!$H$5/10^6</f>
        <v>0.32500000000000001</v>
      </c>
      <c r="F10">
        <f>'LLM Calc'!$H$6/10^6</f>
        <v>3.25</v>
      </c>
      <c r="G10">
        <f t="shared" si="0"/>
        <v>6.63</v>
      </c>
      <c r="H10" s="2">
        <f>G10*'LLM Calc'!$B$8</f>
        <v>603.33000000000004</v>
      </c>
    </row>
    <row r="11" spans="1:8" x14ac:dyDescent="0.3">
      <c r="A11" t="s">
        <v>42</v>
      </c>
      <c r="B11" t="s">
        <v>43</v>
      </c>
      <c r="C11">
        <v>0.15</v>
      </c>
      <c r="D11">
        <v>0.6</v>
      </c>
      <c r="E11">
        <f>'LLM Calc'!$H$5/10^6</f>
        <v>0.32500000000000001</v>
      </c>
      <c r="F11">
        <f>'LLM Calc'!$H$6/10^6</f>
        <v>3.25</v>
      </c>
      <c r="G11">
        <f t="shared" si="0"/>
        <v>1.99875</v>
      </c>
      <c r="H11" s="2">
        <f>G11*'LLM Calc'!$B$8</f>
        <v>181.88624999999999</v>
      </c>
    </row>
    <row r="12" spans="1:8" x14ac:dyDescent="0.3">
      <c r="A12" t="s">
        <v>42</v>
      </c>
      <c r="B12" t="s">
        <v>55</v>
      </c>
      <c r="C12">
        <v>1.75</v>
      </c>
      <c r="D12">
        <v>14</v>
      </c>
      <c r="E12">
        <f>'LLM Calc'!$H$5/10^6</f>
        <v>0.32500000000000001</v>
      </c>
      <c r="F12">
        <f>'LLM Calc'!$H$6/10^6</f>
        <v>3.25</v>
      </c>
      <c r="G12">
        <f t="shared" si="0"/>
        <v>46.068750000000001</v>
      </c>
      <c r="H12" s="2">
        <f>G12*'LLM Calc'!$B$8</f>
        <v>4192.2562500000004</v>
      </c>
    </row>
    <row r="16" spans="1:8" ht="28.8" x14ac:dyDescent="0.3">
      <c r="A16" s="3" t="s">
        <v>32</v>
      </c>
      <c r="B16" s="3" t="s">
        <v>33</v>
      </c>
      <c r="C16" s="3" t="s">
        <v>99</v>
      </c>
      <c r="D16" s="3" t="s">
        <v>100</v>
      </c>
    </row>
    <row r="17" spans="1:4" x14ac:dyDescent="0.3">
      <c r="A17" s="4" t="s">
        <v>67</v>
      </c>
      <c r="B17" s="4" t="s">
        <v>68</v>
      </c>
      <c r="C17" s="4">
        <v>0.1</v>
      </c>
      <c r="D17" s="4">
        <v>0.15</v>
      </c>
    </row>
    <row r="18" spans="1:4" ht="28.8" x14ac:dyDescent="0.3">
      <c r="A18" s="4" t="s">
        <v>58</v>
      </c>
      <c r="B18" s="4" t="s">
        <v>71</v>
      </c>
      <c r="C18" s="4">
        <v>5</v>
      </c>
      <c r="D18" s="4">
        <v>25</v>
      </c>
    </row>
    <row r="19" spans="1:4" ht="28.8" x14ac:dyDescent="0.3">
      <c r="A19" s="4" t="s">
        <v>74</v>
      </c>
      <c r="B19" s="4" t="s">
        <v>75</v>
      </c>
      <c r="C19" s="4">
        <v>0.14000000000000001</v>
      </c>
      <c r="D19" s="4">
        <v>0.28000000000000003</v>
      </c>
    </row>
    <row r="20" spans="1:4" ht="28.8" x14ac:dyDescent="0.3">
      <c r="A20" s="4" t="s">
        <v>78</v>
      </c>
      <c r="B20" s="4" t="s">
        <v>79</v>
      </c>
      <c r="C20" s="4">
        <v>0.2</v>
      </c>
      <c r="D20" s="4">
        <v>0.8</v>
      </c>
    </row>
    <row r="21" spans="1:4" ht="28.8" x14ac:dyDescent="0.3">
      <c r="A21" s="4" t="s">
        <v>78</v>
      </c>
      <c r="B21" s="4" t="s">
        <v>82</v>
      </c>
      <c r="C21" s="4">
        <v>0.3</v>
      </c>
      <c r="D21" s="4">
        <v>2.5</v>
      </c>
    </row>
    <row r="22" spans="1:4" ht="28.8" x14ac:dyDescent="0.3">
      <c r="A22" s="4" t="s">
        <v>78</v>
      </c>
      <c r="B22" s="4" t="s">
        <v>85</v>
      </c>
      <c r="C22" s="4">
        <v>1.25</v>
      </c>
      <c r="D22" s="4">
        <v>10</v>
      </c>
    </row>
    <row r="23" spans="1:4" ht="16.95" customHeight="1" x14ac:dyDescent="0.3">
      <c r="A23" s="4" t="s">
        <v>78</v>
      </c>
      <c r="B23" s="4" t="s">
        <v>86</v>
      </c>
      <c r="C23" s="4">
        <v>0.25</v>
      </c>
      <c r="D23" s="4">
        <v>1.5</v>
      </c>
    </row>
    <row r="24" spans="1:4" ht="28.8" x14ac:dyDescent="0.3">
      <c r="A24" s="4" t="s">
        <v>89</v>
      </c>
      <c r="B24" s="4" t="s">
        <v>90</v>
      </c>
      <c r="C24" s="4">
        <v>0.57999999999999996</v>
      </c>
      <c r="D24" s="4">
        <v>0.71</v>
      </c>
    </row>
    <row r="25" spans="1:4" ht="28.8" x14ac:dyDescent="0.3">
      <c r="A25" s="4" t="s">
        <v>93</v>
      </c>
      <c r="B25" s="4" t="s">
        <v>94</v>
      </c>
      <c r="C25" s="4">
        <v>0.14000000000000001</v>
      </c>
      <c r="D25" s="4">
        <v>0.42</v>
      </c>
    </row>
    <row r="26" spans="1:4" ht="28.8" x14ac:dyDescent="0.3">
      <c r="A26" s="4" t="s">
        <v>93</v>
      </c>
      <c r="B26" s="4" t="s">
        <v>97</v>
      </c>
      <c r="C26" s="4">
        <v>0.4</v>
      </c>
      <c r="D26" s="4">
        <v>2</v>
      </c>
    </row>
    <row r="27" spans="1:4" ht="28.8" x14ac:dyDescent="0.3">
      <c r="A27" s="4" t="s">
        <v>42</v>
      </c>
      <c r="B27" s="4" t="s">
        <v>43</v>
      </c>
      <c r="C27" s="4">
        <v>0.15</v>
      </c>
      <c r="D27" s="4">
        <v>0.6</v>
      </c>
    </row>
    <row r="28" spans="1:4" x14ac:dyDescent="0.3">
      <c r="A28" s="4" t="s">
        <v>42</v>
      </c>
      <c r="B28" s="4" t="s">
        <v>46</v>
      </c>
      <c r="C28" s="4">
        <v>2.5</v>
      </c>
      <c r="D28" s="5">
        <v>10</v>
      </c>
    </row>
    <row r="29" spans="1:4" ht="28.8" x14ac:dyDescent="0.3">
      <c r="A29" s="4" t="s">
        <v>42</v>
      </c>
      <c r="B29" s="4" t="s">
        <v>48</v>
      </c>
      <c r="C29" s="4">
        <v>0.4</v>
      </c>
      <c r="D29" s="5">
        <v>1.6</v>
      </c>
    </row>
    <row r="30" spans="1:4" x14ac:dyDescent="0.3">
      <c r="A30" s="4" t="s">
        <v>42</v>
      </c>
      <c r="B30" s="4" t="s">
        <v>50</v>
      </c>
      <c r="C30" s="4">
        <v>2</v>
      </c>
      <c r="D30" s="5">
        <v>8</v>
      </c>
    </row>
    <row r="31" spans="1:4" ht="28.8" x14ac:dyDescent="0.3">
      <c r="A31" s="4" t="s">
        <v>42</v>
      </c>
      <c r="B31" s="4" t="s">
        <v>52</v>
      </c>
      <c r="C31" s="4">
        <v>0.25</v>
      </c>
      <c r="D31" s="4">
        <v>2</v>
      </c>
    </row>
    <row r="32" spans="1:4" x14ac:dyDescent="0.3">
      <c r="A32" s="4" t="s">
        <v>42</v>
      </c>
      <c r="B32" s="4" t="s">
        <v>55</v>
      </c>
      <c r="C32" s="4">
        <v>1.75</v>
      </c>
      <c r="D32" s="5">
        <v>14</v>
      </c>
    </row>
    <row r="33" spans="1:4" ht="28.8" x14ac:dyDescent="0.3">
      <c r="A33" s="4" t="s">
        <v>58</v>
      </c>
      <c r="B33" s="4" t="s">
        <v>105</v>
      </c>
      <c r="C33" s="4">
        <v>1</v>
      </c>
      <c r="D33" s="4">
        <v>5</v>
      </c>
    </row>
    <row r="34" spans="1:4" ht="43.2" x14ac:dyDescent="0.3">
      <c r="A34" s="4" t="s">
        <v>58</v>
      </c>
      <c r="B34" s="4" t="s">
        <v>106</v>
      </c>
      <c r="C34" s="4">
        <v>3</v>
      </c>
      <c r="D34" s="4">
        <v>15</v>
      </c>
    </row>
    <row r="35" spans="1:4" ht="28.8" x14ac:dyDescent="0.3">
      <c r="A35" s="4" t="s">
        <v>58</v>
      </c>
      <c r="B35" s="4" t="s">
        <v>107</v>
      </c>
      <c r="C35" s="4">
        <v>5</v>
      </c>
      <c r="D35" s="4">
        <v>25</v>
      </c>
    </row>
  </sheetData>
  <hyperlinks>
    <hyperlink ref="D28" r:id="rId1" tooltip="Pricing Comparison: OpenAI vs Gemini" display="https://www.solvimon.com/pricing-guides/openai-vs-gemini?utm_source=chatgpt.com" xr:uid="{14467FBD-75B7-42AC-AAFF-3B678FE25573}"/>
    <hyperlink ref="D29" r:id="rId2" tooltip="GPT-4.1 mini: Pricing, Context Window, Benchmarks, and ..." display="https://llm-stats.com/models/gpt-4.1-mini-2025-04-14?utm_source=chatgpt.com" xr:uid="{BA31C99F-48D4-429B-93CF-E228EF48B51B}"/>
    <hyperlink ref="D30" r:id="rId3" tooltip="Pricing Comparison: OpenAI vs Gemini" display="https://www.solvimon.com/pricing-guides/openai-vs-gemini?utm_source=chatgpt.com" xr:uid="{7D318500-03C8-4DD0-B8A6-AA544E35A474}"/>
    <hyperlink ref="D32" r:id="rId4" tooltip="Compare models | OpenAI API" display="https://developers.openai.com/api/docs/models/compare?utm_source=chatgpt.com" xr:uid="{3FC180A6-836E-49EA-A005-175C3BE414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 Calc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Aditya Singh</cp:lastModifiedBy>
  <cp:revision/>
  <dcterms:created xsi:type="dcterms:W3CDTF">2026-03-17T01:43:58Z</dcterms:created>
  <dcterms:modified xsi:type="dcterms:W3CDTF">2026-05-09T08:14:59Z</dcterms:modified>
  <cp:category/>
  <cp:contentStatus/>
</cp:coreProperties>
</file>